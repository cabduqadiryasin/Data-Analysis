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19200" windowHeight="6930"/>
  </bookViews>
  <sheets>
    <sheet name="Transportation" sheetId="1" r:id="rId1"/>
    <sheet name="assignment" sheetId="2" r:id="rId2"/>
  </sheets>
  <definedNames>
    <definedName name="solver_adj" localSheetId="0" hidden="1">Transportation!$C$11:$F$12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Transportation!$C$13:$F$13</definedName>
    <definedName name="solver_lhs2" localSheetId="0" hidden="1">Transportation!$G$11:$G$12</definedName>
    <definedName name="solver_lhs3" localSheetId="0" hidden="1">Transportation!$E$14</definedName>
    <definedName name="solver_lhs4" localSheetId="0" hidden="1">Transportation!$F$11</definedName>
    <definedName name="solver_lhs5" localSheetId="0" hidden="1">Transportation!$F$12</definedName>
    <definedName name="solver_lhs6" localSheetId="0" hidden="1">Transportation!$F$13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2</definedName>
    <definedName name="solver_nwt" localSheetId="0" hidden="1">1</definedName>
    <definedName name="solver_opt" localSheetId="0" hidden="1">Transportation!$C$17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el2" localSheetId="0" hidden="1">1</definedName>
    <definedName name="solver_rel3" localSheetId="0" hidden="1">3</definedName>
    <definedName name="solver_rel4" localSheetId="0" hidden="1">1</definedName>
    <definedName name="solver_rel5" localSheetId="0" hidden="1">1</definedName>
    <definedName name="solver_rel6" localSheetId="0" hidden="1">1</definedName>
    <definedName name="solver_rhs1" localSheetId="0" hidden="1">Transportation!$C$14:$F$14</definedName>
    <definedName name="solver_rhs2" localSheetId="0" hidden="1">Transportation!$H$11:$H$12</definedName>
    <definedName name="solver_rhs3" localSheetId="0" hidden="1">Transportation!$E$15</definedName>
    <definedName name="solver_rhs4" localSheetId="0" hidden="1">Transportation!$G$11</definedName>
    <definedName name="solver_rhs5" localSheetId="0" hidden="1">Transportation!$G$12</definedName>
    <definedName name="solver_rhs6" localSheetId="0" hidden="1">Transportation!$G$13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1" i="1" l="1"/>
  <c r="D19" i="2" l="1"/>
  <c r="G15" i="2"/>
  <c r="F15" i="2"/>
  <c r="E15" i="2"/>
  <c r="D15" i="2"/>
  <c r="H14" i="2"/>
  <c r="I13" i="2"/>
  <c r="H13" i="2"/>
  <c r="H12" i="2"/>
  <c r="H11" i="2"/>
  <c r="C17" i="1"/>
  <c r="D13" i="1"/>
  <c r="E13" i="1"/>
  <c r="F13" i="1"/>
  <c r="C13" i="1"/>
  <c r="G12" i="1"/>
  <c r="G13" i="1" l="1"/>
</calcChain>
</file>

<file path=xl/sharedStrings.xml><?xml version="1.0" encoding="utf-8"?>
<sst xmlns="http://schemas.openxmlformats.org/spreadsheetml/2006/main" count="56" uniqueCount="33">
  <si>
    <t>Costs</t>
  </si>
  <si>
    <t>Demand</t>
  </si>
  <si>
    <t>plan1</t>
  </si>
  <si>
    <t>plan2</t>
  </si>
  <si>
    <t>site1</t>
  </si>
  <si>
    <t>site2</t>
  </si>
  <si>
    <t>site3</t>
  </si>
  <si>
    <t>site4</t>
  </si>
  <si>
    <t>supply</t>
  </si>
  <si>
    <t>actual</t>
  </si>
  <si>
    <t>mini total</t>
  </si>
  <si>
    <t>planA</t>
  </si>
  <si>
    <t>planB</t>
  </si>
  <si>
    <t>Totalactual</t>
  </si>
  <si>
    <t>demand</t>
  </si>
  <si>
    <t>💼 Assignment Cost Table</t>
  </si>
  <si>
    <t>Person/Project</t>
  </si>
  <si>
    <t>Job 1</t>
  </si>
  <si>
    <t>Job 2</t>
  </si>
  <si>
    <t>Job 3</t>
  </si>
  <si>
    <t>Job 4</t>
  </si>
  <si>
    <t>Machine A</t>
  </si>
  <si>
    <t>Machine B</t>
  </si>
  <si>
    <t>Machine C</t>
  </si>
  <si>
    <t>Machine D</t>
  </si>
  <si>
    <t>💼 Assignment Load Table</t>
  </si>
  <si>
    <t>ATotal</t>
  </si>
  <si>
    <t>Sign</t>
  </si>
  <si>
    <t>Raw Total</t>
  </si>
  <si>
    <t>=</t>
  </si>
  <si>
    <t>Column Total</t>
  </si>
  <si>
    <t>Total cost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</si>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</sst>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3" borderId="1" xfId="0" applyFont="1" applyFill="1" applyBorder="1"/>
    <xf numFmtId="0" fontId="2" fillId="5" borderId="1" xfId="0" applyFont="1" applyFill="1" applyBorder="1"/>
    <xf numFmtId="0" fontId="1" fillId="5" borderId="1" xfId="0" applyFont="1" applyFill="1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165100</xdr:colOff>
      <xdr:row>4</xdr:row>
      <xdr:rowOff>37006</xdr:rowOff>
    </xdr:from>
    <xdr:to>
      <xdr:col>17</xdr:col>
      <xdr:colOff>513079</xdr:colOff>
      <xdr:row>17</xdr:row>
      <xdr:rowOff>48630</xdr:rowOff>
    </xdr:to>
    <xdr:pic>
      <xdr:nvPicPr>
        <xdr:cNvPr id="2" name="Picture 1" descr="A network diagram illustrates an assignment problem with supply and demand. Long description is available in notes, press F6.">
          <a:extLst>
            <a:ext uri="{FF2B5EF4-FFF2-40B4-BE49-F238E27FC236}">
              <a16:creationId xmlns:a16="http://schemas.microsoft.com/office/drawing/2014/main" id="{9F3CBF95-3669-4930-9FE5-33004A1F7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46950" y="773606"/>
          <a:ext cx="4615179" cy="2405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7"/>
  <sheetViews>
    <sheetView tabSelected="1" zoomScale="60" zoomScaleNormal="60" workbookViewId="0">
      <selection activeCell="G11" sqref="G11"/>
    </sheetView>
  </sheetViews>
  <sheetFormatPr defaultRowHeight="14.5" x14ac:dyDescent="0.35"/>
  <cols>
    <col min="2" max="2" width="16.6328125" bestFit="1" customWidth="1"/>
    <col min="3" max="3" width="14.90625" bestFit="1" customWidth="1"/>
    <col min="4" max="4" width="8.453125" bestFit="1" customWidth="1"/>
    <col min="5" max="5" width="11.36328125" bestFit="1" customWidth="1"/>
    <col min="6" max="6" width="8" bestFit="1" customWidth="1"/>
  </cols>
  <sheetData>
    <row r="2" spans="1:8" ht="18.5" x14ac:dyDescent="0.45">
      <c r="A2" s="1"/>
      <c r="B2" s="1"/>
      <c r="C2" s="1"/>
      <c r="D2" s="1"/>
      <c r="E2" s="1"/>
      <c r="F2" s="1"/>
      <c r="G2" s="1"/>
      <c r="H2" s="1"/>
    </row>
    <row r="3" spans="1:8" ht="18.5" x14ac:dyDescent="0.45">
      <c r="A3" s="1"/>
      <c r="B3" s="1"/>
      <c r="C3" s="1"/>
      <c r="D3" s="1"/>
      <c r="E3" s="1"/>
      <c r="F3" s="1"/>
      <c r="G3" s="1"/>
      <c r="H3" s="1"/>
    </row>
    <row r="4" spans="1:8" ht="18.5" x14ac:dyDescent="0.45">
      <c r="A4" s="1"/>
      <c r="B4" s="2" t="s">
        <v>0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/>
    </row>
    <row r="5" spans="1:8" ht="18.5" x14ac:dyDescent="0.45">
      <c r="A5" s="1"/>
      <c r="B5" s="3" t="s">
        <v>2</v>
      </c>
      <c r="C5" s="4">
        <v>12</v>
      </c>
      <c r="D5" s="4">
        <v>15</v>
      </c>
      <c r="E5" s="4">
        <v>20</v>
      </c>
      <c r="F5" s="2">
        <v>25</v>
      </c>
      <c r="G5" s="3">
        <v>120</v>
      </c>
      <c r="H5" s="4"/>
    </row>
    <row r="6" spans="1:8" ht="18.5" x14ac:dyDescent="0.45">
      <c r="A6" s="1"/>
      <c r="B6" s="3" t="s">
        <v>3</v>
      </c>
      <c r="C6" s="4">
        <v>10</v>
      </c>
      <c r="D6" s="4">
        <v>14</v>
      </c>
      <c r="E6" s="4">
        <v>18</v>
      </c>
      <c r="F6" s="2">
        <v>22</v>
      </c>
      <c r="G6" s="3">
        <v>180</v>
      </c>
      <c r="H6" s="4"/>
    </row>
    <row r="7" spans="1:8" ht="18.5" x14ac:dyDescent="0.45">
      <c r="A7" s="1"/>
      <c r="B7" s="3" t="s">
        <v>1</v>
      </c>
      <c r="C7" s="4">
        <v>80</v>
      </c>
      <c r="D7" s="4">
        <v>70</v>
      </c>
      <c r="E7" s="4">
        <v>60</v>
      </c>
      <c r="F7" s="2">
        <v>90</v>
      </c>
      <c r="G7" s="3"/>
      <c r="H7" s="4"/>
    </row>
    <row r="8" spans="1:8" ht="18.5" x14ac:dyDescent="0.45">
      <c r="A8" s="1"/>
      <c r="B8" s="3"/>
      <c r="C8" s="2"/>
      <c r="D8" s="2"/>
      <c r="E8" s="2"/>
      <c r="F8" s="3"/>
      <c r="G8" s="3"/>
      <c r="H8" s="2"/>
    </row>
    <row r="9" spans="1:8" ht="18.5" x14ac:dyDescent="0.45">
      <c r="A9" s="1"/>
      <c r="B9" s="1"/>
      <c r="C9" s="1"/>
      <c r="D9" s="1"/>
      <c r="E9" s="1"/>
      <c r="F9" s="1"/>
      <c r="G9" s="1"/>
      <c r="H9" s="1"/>
    </row>
    <row r="10" spans="1:8" ht="18.5" x14ac:dyDescent="0.45">
      <c r="A10" s="1"/>
      <c r="B10" s="3"/>
      <c r="C10" s="3" t="s">
        <v>4</v>
      </c>
      <c r="D10" s="3" t="s">
        <v>5</v>
      </c>
      <c r="E10" s="3" t="s">
        <v>6</v>
      </c>
      <c r="F10" s="5" t="s">
        <v>7</v>
      </c>
      <c r="G10" s="8" t="s">
        <v>9</v>
      </c>
      <c r="H10" s="3" t="s">
        <v>8</v>
      </c>
    </row>
    <row r="11" spans="1:8" ht="18.5" x14ac:dyDescent="0.45">
      <c r="A11" s="1"/>
      <c r="B11" s="3" t="s">
        <v>11</v>
      </c>
      <c r="C11" s="6">
        <v>50</v>
      </c>
      <c r="D11" s="6">
        <v>70</v>
      </c>
      <c r="E11" s="6">
        <v>0</v>
      </c>
      <c r="F11" s="5">
        <v>0</v>
      </c>
      <c r="G11" s="8">
        <f>SUM(C11:F11)</f>
        <v>120</v>
      </c>
      <c r="H11" s="3">
        <v>120</v>
      </c>
    </row>
    <row r="12" spans="1:8" ht="18.5" x14ac:dyDescent="0.45">
      <c r="A12" s="1"/>
      <c r="B12" s="3" t="s">
        <v>12</v>
      </c>
      <c r="C12" s="6">
        <v>30</v>
      </c>
      <c r="D12" s="6">
        <v>0</v>
      </c>
      <c r="E12" s="6">
        <v>60</v>
      </c>
      <c r="F12" s="5">
        <v>90</v>
      </c>
      <c r="G12" s="8">
        <f t="shared" ref="G12:G13" si="0">SUM(C12:F12)</f>
        <v>180</v>
      </c>
      <c r="H12" s="3">
        <v>180</v>
      </c>
    </row>
    <row r="13" spans="1:8" ht="18.5" x14ac:dyDescent="0.45">
      <c r="A13" s="1"/>
      <c r="B13" s="3" t="s">
        <v>13</v>
      </c>
      <c r="C13" s="6">
        <f>SUM(C11:C12)</f>
        <v>80</v>
      </c>
      <c r="D13" s="6">
        <f t="shared" ref="D13:F13" si="1">SUM(D11:D12)</f>
        <v>70</v>
      </c>
      <c r="E13" s="6">
        <f t="shared" si="1"/>
        <v>60</v>
      </c>
      <c r="F13" s="6">
        <f t="shared" si="1"/>
        <v>90</v>
      </c>
      <c r="G13" s="8">
        <f t="shared" si="0"/>
        <v>300</v>
      </c>
      <c r="H13" s="3"/>
    </row>
    <row r="14" spans="1:8" ht="18.5" x14ac:dyDescent="0.45">
      <c r="A14" s="1"/>
      <c r="B14" s="5" t="s">
        <v>14</v>
      </c>
      <c r="C14" s="5">
        <v>80</v>
      </c>
      <c r="D14" s="5">
        <v>70</v>
      </c>
      <c r="E14" s="5">
        <v>60</v>
      </c>
      <c r="F14" s="3">
        <v>90</v>
      </c>
      <c r="G14" s="9"/>
      <c r="H14" s="5"/>
    </row>
    <row r="15" spans="1:8" ht="18.5" x14ac:dyDescent="0.45">
      <c r="A15" s="1"/>
      <c r="B15" s="2" t="s">
        <v>1</v>
      </c>
      <c r="C15" s="2"/>
      <c r="D15" s="2"/>
      <c r="E15" s="2"/>
      <c r="F15" s="3"/>
      <c r="G15" s="3"/>
      <c r="H15" s="2"/>
    </row>
    <row r="16" spans="1:8" ht="18.5" x14ac:dyDescent="0.45">
      <c r="A16" s="1"/>
      <c r="B16" s="1"/>
      <c r="C16" s="1"/>
      <c r="D16" s="1"/>
      <c r="E16" s="1"/>
      <c r="F16" s="1"/>
      <c r="G16" s="1"/>
      <c r="H16" s="1"/>
    </row>
    <row r="17" spans="1:8" ht="18.5" x14ac:dyDescent="0.45">
      <c r="A17" s="1"/>
      <c r="B17" s="7" t="s">
        <v>10</v>
      </c>
      <c r="C17" s="7">
        <f>SUMPRODUCT(C5:F6,C11:F12)</f>
        <v>5010</v>
      </c>
      <c r="D17" s="1"/>
      <c r="E17" s="1"/>
      <c r="F17" s="1"/>
      <c r="G17" s="1"/>
      <c r="H17" s="1"/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S22"/>
  <sheetViews>
    <sheetView workbookViewId="0">
      <selection activeCell="D21" sqref="D21"/>
    </sheetView>
  </sheetViews>
  <sheetFormatPr defaultRowHeight="14.5" x14ac:dyDescent="0.35"/>
  <cols>
    <col min="3" max="3" width="24.36328125" bestFit="1" customWidth="1"/>
    <col min="4" max="4" width="8.6328125" bestFit="1" customWidth="1"/>
  </cols>
  <sheetData>
    <row r="3" spans="2:19" x14ac:dyDescent="0.35">
      <c r="B3" s="10"/>
      <c r="C3" s="10" t="s">
        <v>15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2:19" x14ac:dyDescent="0.35">
      <c r="B4" s="10"/>
      <c r="C4" s="11" t="s">
        <v>16</v>
      </c>
      <c r="D4" s="11" t="s">
        <v>17</v>
      </c>
      <c r="E4" s="11" t="s">
        <v>18</v>
      </c>
      <c r="F4" s="11" t="s">
        <v>19</v>
      </c>
      <c r="G4" s="11" t="s">
        <v>20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pans="2:19" x14ac:dyDescent="0.35">
      <c r="B5" s="10"/>
      <c r="C5" s="11" t="s">
        <v>21</v>
      </c>
      <c r="D5" s="12">
        <v>8</v>
      </c>
      <c r="E5" s="12">
        <v>26</v>
      </c>
      <c r="F5" s="12">
        <v>17</v>
      </c>
      <c r="G5" s="12">
        <v>11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pans="2:19" x14ac:dyDescent="0.35">
      <c r="B6" s="10"/>
      <c r="C6" s="11" t="s">
        <v>22</v>
      </c>
      <c r="D6" s="12">
        <v>13</v>
      </c>
      <c r="E6" s="12">
        <v>7</v>
      </c>
      <c r="F6" s="12">
        <v>9</v>
      </c>
      <c r="G6" s="12">
        <v>19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pans="2:19" x14ac:dyDescent="0.35">
      <c r="B7" s="10"/>
      <c r="C7" s="11" t="s">
        <v>23</v>
      </c>
      <c r="D7" s="12">
        <v>17</v>
      </c>
      <c r="E7" s="12">
        <v>12</v>
      </c>
      <c r="F7" s="12">
        <v>5</v>
      </c>
      <c r="G7" s="12">
        <v>16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spans="2:19" x14ac:dyDescent="0.35">
      <c r="B8" s="10"/>
      <c r="C8" s="11" t="s">
        <v>24</v>
      </c>
      <c r="D8" s="12">
        <v>20</v>
      </c>
      <c r="E8" s="12">
        <v>14</v>
      </c>
      <c r="F8" s="12">
        <v>13</v>
      </c>
      <c r="G8" s="12">
        <v>8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spans="2:19" x14ac:dyDescent="0.35">
      <c r="B9" s="10"/>
      <c r="C9" s="10" t="s">
        <v>25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spans="2:19" x14ac:dyDescent="0.35">
      <c r="B10" s="10"/>
      <c r="C10" s="11" t="s">
        <v>16</v>
      </c>
      <c r="D10" s="11" t="s">
        <v>17</v>
      </c>
      <c r="E10" s="11" t="s">
        <v>18</v>
      </c>
      <c r="F10" s="11" t="s">
        <v>19</v>
      </c>
      <c r="G10" s="11" t="s">
        <v>20</v>
      </c>
      <c r="H10" s="13" t="s">
        <v>26</v>
      </c>
      <c r="I10" s="13" t="s">
        <v>27</v>
      </c>
      <c r="J10" s="13" t="s">
        <v>28</v>
      </c>
      <c r="K10" s="10"/>
      <c r="L10" s="10"/>
      <c r="M10" s="10"/>
      <c r="N10" s="10"/>
      <c r="O10" s="10"/>
      <c r="P10" s="10"/>
      <c r="Q10" s="10"/>
      <c r="R10" s="10"/>
      <c r="S10" s="10"/>
    </row>
    <row r="11" spans="2:19" x14ac:dyDescent="0.35">
      <c r="B11" s="10"/>
      <c r="C11" s="11" t="s">
        <v>21</v>
      </c>
      <c r="D11" s="14">
        <v>1</v>
      </c>
      <c r="E11" s="14">
        <v>0</v>
      </c>
      <c r="F11" s="14">
        <v>0</v>
      </c>
      <c r="G11" s="14">
        <v>0</v>
      </c>
      <c r="H11" s="15">
        <f>SUM(D11:G11)</f>
        <v>1</v>
      </c>
      <c r="I11" s="16" t="s">
        <v>29</v>
      </c>
      <c r="J11" s="13">
        <v>1</v>
      </c>
      <c r="K11" s="10"/>
      <c r="L11" s="10"/>
      <c r="M11" s="10"/>
      <c r="N11" s="10"/>
      <c r="O11" s="10"/>
      <c r="P11" s="10"/>
      <c r="Q11" s="10"/>
      <c r="R11" s="10"/>
      <c r="S11" s="10"/>
    </row>
    <row r="12" spans="2:19" x14ac:dyDescent="0.35">
      <c r="B12" s="10"/>
      <c r="C12" s="11" t="s">
        <v>22</v>
      </c>
      <c r="D12" s="14">
        <v>0</v>
      </c>
      <c r="E12" s="14">
        <v>1</v>
      </c>
      <c r="F12" s="14">
        <v>0</v>
      </c>
      <c r="G12" s="14">
        <v>0</v>
      </c>
      <c r="H12" s="15">
        <f t="shared" ref="H12" si="0">SUM(D12:G12)</f>
        <v>1</v>
      </c>
      <c r="I12" s="16" t="s">
        <v>29</v>
      </c>
      <c r="J12" s="13">
        <v>1</v>
      </c>
      <c r="K12" s="10"/>
      <c r="L12" s="10"/>
      <c r="M12" s="10"/>
      <c r="N12" s="10"/>
      <c r="O12" s="10"/>
      <c r="P12" s="10"/>
      <c r="Q12" s="10"/>
      <c r="R12" s="10"/>
      <c r="S12" s="10"/>
    </row>
    <row r="13" spans="2:19" x14ac:dyDescent="0.35">
      <c r="B13" s="10"/>
      <c r="C13" s="11" t="s">
        <v>23</v>
      </c>
      <c r="D13" s="14">
        <v>0</v>
      </c>
      <c r="E13" s="14">
        <v>0</v>
      </c>
      <c r="F13" s="14">
        <v>1</v>
      </c>
      <c r="G13" s="14">
        <v>0</v>
      </c>
      <c r="H13" s="15">
        <f>SUM(D13:G13)</f>
        <v>1</v>
      </c>
      <c r="I13" s="16" t="str">
        <f>I12</f>
        <v>=</v>
      </c>
      <c r="J13" s="13">
        <v>1</v>
      </c>
      <c r="K13" s="10"/>
      <c r="L13" s="10"/>
      <c r="M13" s="10"/>
      <c r="N13" s="10"/>
      <c r="O13" s="10"/>
      <c r="P13" s="10"/>
      <c r="Q13" s="10"/>
      <c r="R13" s="10"/>
      <c r="S13" s="10"/>
    </row>
    <row r="14" spans="2:19" x14ac:dyDescent="0.35">
      <c r="B14" s="10"/>
      <c r="C14" s="11" t="s">
        <v>24</v>
      </c>
      <c r="D14" s="14">
        <v>0</v>
      </c>
      <c r="E14" s="14">
        <v>0</v>
      </c>
      <c r="F14" s="14">
        <v>0</v>
      </c>
      <c r="G14" s="14">
        <v>1</v>
      </c>
      <c r="H14" s="15">
        <f>SUM(D14:G14)</f>
        <v>1</v>
      </c>
      <c r="I14" s="16" t="s">
        <v>29</v>
      </c>
      <c r="J14" s="13">
        <v>1</v>
      </c>
      <c r="K14" s="10"/>
      <c r="L14" s="10"/>
      <c r="M14" s="10"/>
      <c r="N14" s="10"/>
      <c r="O14" s="10"/>
      <c r="P14" s="10"/>
      <c r="Q14" s="10"/>
      <c r="R14" s="10"/>
      <c r="S14" s="10"/>
    </row>
    <row r="15" spans="2:19" x14ac:dyDescent="0.35">
      <c r="B15" s="10"/>
      <c r="C15" s="11" t="s">
        <v>26</v>
      </c>
      <c r="D15" s="15">
        <f>SUM(D11:D14)</f>
        <v>1</v>
      </c>
      <c r="E15" s="15">
        <f t="shared" ref="E15:G15" si="1">SUM(E11:E14)</f>
        <v>1</v>
      </c>
      <c r="F15" s="15">
        <f t="shared" si="1"/>
        <v>1</v>
      </c>
      <c r="G15" s="15">
        <f t="shared" si="1"/>
        <v>1</v>
      </c>
      <c r="H15" s="17"/>
      <c r="I15" s="17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spans="2:19" x14ac:dyDescent="0.35">
      <c r="B16" s="10"/>
      <c r="C16" s="11" t="s">
        <v>27</v>
      </c>
      <c r="D16" s="16" t="s">
        <v>29</v>
      </c>
      <c r="E16" s="16" t="s">
        <v>29</v>
      </c>
      <c r="F16" s="16" t="s">
        <v>29</v>
      </c>
      <c r="G16" s="16" t="s">
        <v>29</v>
      </c>
      <c r="H16" s="17"/>
      <c r="I16" s="17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pans="2:19" x14ac:dyDescent="0.35">
      <c r="B17" s="10"/>
      <c r="C17" s="11" t="s">
        <v>30</v>
      </c>
      <c r="D17" s="13">
        <v>1</v>
      </c>
      <c r="E17" s="13">
        <v>1</v>
      </c>
      <c r="F17" s="13">
        <v>1</v>
      </c>
      <c r="G17" s="13">
        <v>1</v>
      </c>
      <c r="H17" s="17"/>
      <c r="I17" s="17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spans="2:19" x14ac:dyDescent="0.35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spans="2:19" x14ac:dyDescent="0.35">
      <c r="B19" s="10"/>
      <c r="C19" s="11" t="s">
        <v>31</v>
      </c>
      <c r="D19" s="18">
        <f>SUMPRODUCT(D5:G8,D11:G14)</f>
        <v>28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spans="2:19" x14ac:dyDescent="0.35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spans="2:19" x14ac:dyDescent="0.35">
      <c r="B21" s="10"/>
      <c r="C21" s="10"/>
      <c r="D21" s="10" t="s">
        <v>32</v>
      </c>
      <c r="E21" s="10"/>
      <c r="F21" s="10"/>
      <c r="G21" s="10"/>
      <c r="H21" s="10"/>
      <c r="I21" s="10"/>
      <c r="J21" s="10"/>
      <c r="K21" s="10"/>
      <c r="L21" s="11"/>
      <c r="M21" s="10"/>
      <c r="N21" s="10"/>
      <c r="O21" s="10"/>
      <c r="P21" s="10"/>
      <c r="Q21" s="10"/>
      <c r="R21" s="10"/>
      <c r="S21" s="10"/>
    </row>
    <row r="22" spans="2:19" x14ac:dyDescent="0.35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Transportation</vt:lpstr>
      <vt:lpstr>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2025-06-30T02:42:25Z</dcterms:created>
  <dcterms:modified xsi:type="dcterms:W3CDTF">2025-06-30T13:07:40Z</dcterms:modified>
</cp:coreProperties>
</file>